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jyu\Desktop\"/>
    </mc:Choice>
  </mc:AlternateContent>
  <xr:revisionPtr revIDLastSave="0" documentId="8_{0608E9E1-4FB2-4EA2-9FD3-2189BC9391A0}" xr6:coauthVersionLast="36" xr6:coauthVersionMax="36" xr10:uidLastSave="{00000000-0000-0000-0000-000000000000}"/>
  <bookViews>
    <workbookView xWindow="0" yWindow="0" windowWidth="28800" windowHeight="12180" xr2:uid="{E33A76D6-57BF-4797-B108-8635B6711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L15" i="1"/>
  <c r="L14" i="1"/>
  <c r="K16" i="1"/>
  <c r="K15" i="1"/>
  <c r="K14" i="1"/>
  <c r="J16" i="1"/>
  <c r="J15" i="1"/>
  <c r="J14" i="1"/>
  <c r="L10" i="1"/>
  <c r="L9" i="1"/>
  <c r="L8" i="1"/>
  <c r="K10" i="1"/>
  <c r="K9" i="1"/>
  <c r="K8" i="1"/>
  <c r="J10" i="1"/>
  <c r="J9" i="1"/>
  <c r="J8" i="1"/>
  <c r="I10" i="1"/>
  <c r="I9" i="1"/>
  <c r="I8" i="1"/>
</calcChain>
</file>

<file path=xl/sharedStrings.xml><?xml version="1.0" encoding="utf-8"?>
<sst xmlns="http://schemas.openxmlformats.org/spreadsheetml/2006/main" count="7" uniqueCount="7">
  <si>
    <t>보증금</t>
    <phoneticPr fontId="1" type="noConversion"/>
  </si>
  <si>
    <t>대출</t>
    <phoneticPr fontId="1" type="noConversion"/>
  </si>
  <si>
    <t>이자 6%</t>
    <phoneticPr fontId="1" type="noConversion"/>
  </si>
  <si>
    <t>이자 5%</t>
    <phoneticPr fontId="1" type="noConversion"/>
  </si>
  <si>
    <t>이자 4%</t>
    <phoneticPr fontId="1" type="noConversion"/>
  </si>
  <si>
    <t>월세</t>
    <phoneticPr fontId="1" type="noConversion"/>
  </si>
  <si>
    <t>총 납부액(월)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</si>
</sst>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8" formatCode="&quot;₩&quot;#,##0_);[Red]\(&quot;₩&quot;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9867-BFFE-420D-9815-89F57B1511B2}">
  <dimension ref="H7:M16"/>
  <sheetViews>
    <sheetView tabSelected="1" workbookViewId="0">
      <selection activeCell="M20" sqref="M20"/>
    </sheetView>
  </sheetViews>
  <sheetFormatPr defaultRowHeight="16.5" x14ac:dyDescent="0.3"/>
  <cols>
    <col min="8" max="8" width="14.75" customWidth="1"/>
    <col min="9" max="10" width="16" customWidth="1"/>
    <col min="11" max="11" width="15.25" customWidth="1"/>
    <col min="12" max="12" width="16.75" customWidth="1"/>
    <col min="13" max="13" width="15.875" customWidth="1"/>
  </cols>
  <sheetData>
    <row r="7" spans="8:13" x14ac:dyDescent="0.3">
      <c r="H7" s="2" t="s">
        <v>0</v>
      </c>
      <c r="I7" s="2" t="s">
        <v>1</v>
      </c>
      <c r="J7" s="2" t="s">
        <v>2</v>
      </c>
      <c r="K7" s="2" t="s">
        <v>3</v>
      </c>
      <c r="L7" s="2" t="s">
        <v>4</v>
      </c>
      <c r="M7" s="2" t="s">
        <v>5</v>
      </c>
    </row>
    <row r="8" spans="8:13" x14ac:dyDescent="0.3">
      <c r="H8" s="1">
        <v>185700000</v>
      </c>
      <c r="I8" s="3">
        <f>H8*0.8</f>
        <v>148560000</v>
      </c>
      <c r="J8" s="3">
        <f>I8*0.06/12</f>
        <v>742800</v>
      </c>
      <c r="K8" s="3">
        <f>I8*0.05/12</f>
        <v>619000</v>
      </c>
      <c r="L8" s="3">
        <f>I8*0.04/12</f>
        <v>495200</v>
      </c>
      <c r="M8" s="3">
        <v>388000</v>
      </c>
    </row>
    <row r="9" spans="8:13" x14ac:dyDescent="0.3">
      <c r="H9" s="1">
        <v>150000000</v>
      </c>
      <c r="I9" s="3">
        <f>H9*0.8</f>
        <v>120000000</v>
      </c>
      <c r="J9" s="3">
        <f>I9*0.06/12</f>
        <v>600000</v>
      </c>
      <c r="K9" s="3">
        <f>I9*0.05/12</f>
        <v>500000</v>
      </c>
      <c r="L9" s="3">
        <f>I9*0.04/12</f>
        <v>400000</v>
      </c>
      <c r="M9" s="3">
        <v>486000</v>
      </c>
    </row>
    <row r="10" spans="8:13" x14ac:dyDescent="0.3">
      <c r="H10" s="1">
        <v>120000000</v>
      </c>
      <c r="I10" s="3">
        <f>H10*0.8</f>
        <v>96000000</v>
      </c>
      <c r="J10" s="3">
        <f>I10*0.06/12</f>
        <v>480000</v>
      </c>
      <c r="K10" s="3">
        <f>I10*0.05/12</f>
        <v>400000</v>
      </c>
      <c r="L10" s="3">
        <f>I10*0.04/12</f>
        <v>320000</v>
      </c>
      <c r="M10" s="3">
        <v>585000</v>
      </c>
    </row>
    <row r="11" spans="8:13" x14ac:dyDescent="0.3">
      <c r="I11" s="3"/>
      <c r="J11" s="3"/>
      <c r="K11" s="3"/>
      <c r="L11" s="3"/>
      <c r="M11" s="3"/>
    </row>
    <row r="12" spans="8:13" x14ac:dyDescent="0.3">
      <c r="I12" s="3"/>
      <c r="J12" s="3"/>
      <c r="K12" s="3"/>
      <c r="L12" s="3"/>
      <c r="M12" s="3"/>
    </row>
    <row r="13" spans="8:13" x14ac:dyDescent="0.3">
      <c r="I13" s="3"/>
      <c r="J13" s="4" t="s">
        <v>6</v>
      </c>
      <c r="K13" s="4"/>
      <c r="L13" s="4"/>
      <c r="M13" s="3"/>
    </row>
    <row r="14" spans="8:13" x14ac:dyDescent="0.3">
      <c r="I14" s="3"/>
      <c r="J14" s="3">
        <f>J8+M8</f>
        <v>1130800</v>
      </c>
      <c r="K14" s="3">
        <f>K8+M8</f>
        <v>1007000</v>
      </c>
      <c r="L14" s="3">
        <f>L8+M8</f>
        <v>883200</v>
      </c>
      <c r="M14" s="3"/>
    </row>
    <row r="15" spans="8:13" x14ac:dyDescent="0.3">
      <c r="I15" s="3"/>
      <c r="J15" s="3">
        <f>J9+M9</f>
        <v>1086000</v>
      </c>
      <c r="K15" s="3">
        <f>K9+M9</f>
        <v>986000</v>
      </c>
      <c r="L15" s="3">
        <f>L9+M9</f>
        <v>886000</v>
      </c>
      <c r="M15" s="3"/>
    </row>
    <row r="16" spans="8:13" x14ac:dyDescent="0.3">
      <c r="I16" s="3"/>
      <c r="J16" s="3">
        <f>J10+M10</f>
        <v>1065000</v>
      </c>
      <c r="K16" s="3">
        <f>K10+M10</f>
        <v>985000</v>
      </c>
      <c r="L16" s="3">
        <f>L10+M10</f>
        <v>905000</v>
      </c>
      <c r="M16" s="3"/>
    </row>
  </sheetData>
  <mergeCells count="1">
    <mergeCell ref="J13:L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기종</dc:creator>
  <cp:lastModifiedBy>유 기종</cp:lastModifiedBy>
  <dcterms:created xsi:type="dcterms:W3CDTF">2024-03-25T23:45:15Z</dcterms:created>
  <dcterms:modified xsi:type="dcterms:W3CDTF">2024-03-26T00:22:56Z</dcterms:modified>
</cp:coreProperties>
</file>